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+p+/8C5+2Ig2ySFjGtndeTWXpg7MQnHIyBTQA6TkM4="/>
    </ext>
  </extLst>
</workbook>
</file>

<file path=xl/sharedStrings.xml><?xml version="1.0" encoding="utf-8"?>
<sst xmlns="http://schemas.openxmlformats.org/spreadsheetml/2006/main" count="248" uniqueCount="152">
  <si>
    <t>Item #</t>
  </si>
  <si>
    <t>*Ref Des</t>
  </si>
  <si>
    <t>*Qty</t>
  </si>
  <si>
    <t>Manufacturer</t>
  </si>
  <si>
    <t>*Mfg Part #</t>
  </si>
  <si>
    <t>Description / Value</t>
  </si>
  <si>
    <t>*Package</t>
  </si>
  <si>
    <t>Type</t>
  </si>
  <si>
    <t>Your Instructions / Notes</t>
  </si>
  <si>
    <t>Unit Cost</t>
  </si>
  <si>
    <t>Total Cost</t>
  </si>
  <si>
    <t>Website</t>
  </si>
  <si>
    <t>BMP581</t>
  </si>
  <si>
    <t>Bosch Sensortech</t>
  </si>
  <si>
    <t>BMP581 Barometer</t>
  </si>
  <si>
    <t>10-LGA</t>
  </si>
  <si>
    <t xml:space="preserve">Surface Mount </t>
  </si>
  <si>
    <t>link</t>
  </si>
  <si>
    <t>BOOT, RST</t>
  </si>
  <si>
    <t>Nidec Components Corporation</t>
  </si>
  <si>
    <t>CL-SB-12B-01T</t>
  </si>
  <si>
    <t>SPDT Switches (Slide Switch)</t>
  </si>
  <si>
    <t>NA</t>
  </si>
  <si>
    <t>Surface Mount</t>
  </si>
  <si>
    <t>C1,C2</t>
  </si>
  <si>
    <t>Kemet</t>
  </si>
  <si>
    <t xml:space="preserve">C0402C150J8HACTU </t>
  </si>
  <si>
    <r>
      <rPr>
        <rFont val="Arial"/>
        <color theme="1"/>
        <sz val="10.0"/>
      </rPr>
      <t xml:space="preserve">Capacitor </t>
    </r>
    <r>
      <rPr>
        <rFont val="Calibri"/>
        <color theme="1"/>
        <sz val="11.0"/>
      </rPr>
      <t>15pF</t>
    </r>
  </si>
  <si>
    <t>C2A,C2B</t>
  </si>
  <si>
    <t>Samsung Electromechanics</t>
  </si>
  <si>
    <t xml:space="preserve">CL05A226MQ5N6J8 </t>
  </si>
  <si>
    <r>
      <rPr>
        <rFont val="Arial"/>
        <color theme="1"/>
        <sz val="10.0"/>
      </rPr>
      <t xml:space="preserve">Capacitor </t>
    </r>
    <r>
      <rPr>
        <rFont val="Calibri"/>
        <color theme="1"/>
        <sz val="11.0"/>
      </rPr>
      <t>22 µF</t>
    </r>
  </si>
  <si>
    <r>
      <rPr>
        <rFont val="Calibri"/>
        <color theme="1"/>
        <sz val="11.0"/>
      </rPr>
      <t xml:space="preserve">C3, </t>
    </r>
    <r>
      <rPr>
        <rFont val="Calibri"/>
        <color theme="1"/>
        <sz val="11.0"/>
      </rPr>
      <t>C9</t>
    </r>
    <r>
      <rPr>
        <rFont val="Calibri"/>
        <color theme="1"/>
        <sz val="11.0"/>
      </rPr>
      <t>, C13, C14, C15, C21, C22, C26, C27, C28, C29, C30, C31, C34, C37, C38, C39</t>
    </r>
  </si>
  <si>
    <t>CL05A104KA5NNNC</t>
  </si>
  <si>
    <t>Capacitor 100nF</t>
  </si>
  <si>
    <t>C4,C5</t>
  </si>
  <si>
    <t xml:space="preserve">CL05A225KP5NSNC </t>
  </si>
  <si>
    <r>
      <rPr>
        <rFont val="Arial"/>
        <color theme="1"/>
        <sz val="10.0"/>
      </rPr>
      <t xml:space="preserve">Capacitor </t>
    </r>
    <r>
      <rPr>
        <rFont val="Calibri"/>
        <color theme="1"/>
        <sz val="11.0"/>
      </rPr>
      <t>2.2uF</t>
    </r>
  </si>
  <si>
    <r>
      <rPr>
        <rFont val="Calibri"/>
        <color theme="1"/>
        <sz val="11.0"/>
      </rPr>
      <t>C11, C12</t>
    </r>
    <r>
      <rPr>
        <rFont val="Calibri"/>
        <color theme="1"/>
        <sz val="11.0"/>
      </rPr>
      <t>, C23,C35,C36,C40</t>
    </r>
  </si>
  <si>
    <t>CL05A105KP5NNNC</t>
  </si>
  <si>
    <r>
      <rPr>
        <rFont val="Arial"/>
        <color theme="1"/>
        <sz val="10.0"/>
      </rPr>
      <t xml:space="preserve">Capacitor </t>
    </r>
    <r>
      <rPr>
        <rFont val="Calibri"/>
        <color theme="1"/>
        <sz val="11.0"/>
      </rPr>
      <t>1uF</t>
    </r>
  </si>
  <si>
    <r>
      <rPr>
        <rFont val="Calibri"/>
        <color theme="1"/>
        <sz val="11.0"/>
      </rPr>
      <t>C7, C8,</t>
    </r>
    <r>
      <rPr>
        <rFont val="Calibri"/>
        <color theme="1"/>
        <sz val="11.0"/>
      </rPr>
      <t xml:space="preserve"> C32</t>
    </r>
  </si>
  <si>
    <t>Murata Electronics</t>
  </si>
  <si>
    <t>GRM21BR61H106KE43L</t>
  </si>
  <si>
    <r>
      <rPr>
        <rFont val="Arial"/>
        <color theme="1"/>
        <sz val="10.0"/>
      </rPr>
      <t xml:space="preserve">Capacitor </t>
    </r>
    <r>
      <rPr>
        <rFont val="Calibri"/>
        <color theme="1"/>
        <sz val="11.0"/>
      </rPr>
      <t>10 uF</t>
    </r>
  </si>
  <si>
    <t>CRYSTAL</t>
  </si>
  <si>
    <t>NDK (NIHON DEMPA KOGYO CO., LTD)</t>
  </si>
  <si>
    <t xml:space="preserve">STDCRG1-16M </t>
  </si>
  <si>
    <t>Crystal 16 MHz</t>
  </si>
  <si>
    <t xml:space="preserve"> No Lead</t>
  </si>
  <si>
    <t>D2, D3</t>
  </si>
  <si>
    <t>MCC (Micro Commercial Components)</t>
  </si>
  <si>
    <t>SM5817PL-TP</t>
  </si>
  <si>
    <t>Schottky Diode</t>
  </si>
  <si>
    <t>SOD-123</t>
  </si>
  <si>
    <t>GND,INT,NRST,SDA0,SCL0,SCL1,SDA1,TP1,TP2,TP3,V3P3</t>
  </si>
  <si>
    <t>Test pad</t>
  </si>
  <si>
    <t>Exposed Copper</t>
  </si>
  <si>
    <t>JP1,JP2</t>
  </si>
  <si>
    <t>Amphenol ICC</t>
  </si>
  <si>
    <t xml:space="preserve">10129381-916001BLF </t>
  </si>
  <si>
    <t>PINHD-2X8</t>
  </si>
  <si>
    <t>Through hole</t>
  </si>
  <si>
    <t>JP3</t>
  </si>
  <si>
    <t>10129381-914004BLF</t>
  </si>
  <si>
    <t>PINHD-2X7</t>
  </si>
  <si>
    <t>JP4,JP5</t>
  </si>
  <si>
    <t xml:space="preserve">67997-210HLF </t>
  </si>
  <si>
    <t>PINHD-2X5</t>
  </si>
  <si>
    <t>LORA</t>
  </si>
  <si>
    <t xml:space="preserve">75915-305LF </t>
  </si>
  <si>
    <t>FEMALE-HEADER-1X5</t>
  </si>
  <si>
    <r>
      <rPr>
        <rFont val="Calibri"/>
        <color theme="1"/>
        <sz val="11.0"/>
      </rPr>
      <t>PWM-IN,</t>
    </r>
    <r>
      <rPr>
        <rFont val="Calibri"/>
        <color theme="1"/>
        <sz val="11.0"/>
      </rPr>
      <t>PWM-OUT</t>
    </r>
  </si>
  <si>
    <t xml:space="preserve">10129378-908001BLF </t>
  </si>
  <si>
    <t>PINHD-1X08</t>
  </si>
  <si>
    <t>L1</t>
  </si>
  <si>
    <t>Wurth Electroniks</t>
  </si>
  <si>
    <r>
      <rPr>
        <rFont val="Arial"/>
        <color theme="1"/>
        <sz val="10.0"/>
      </rPr>
      <t xml:space="preserve">Inductor </t>
    </r>
    <r>
      <rPr>
        <rFont val="Calibri"/>
        <color theme="1"/>
        <sz val="11.0"/>
      </rPr>
      <t>6.8 µH</t>
    </r>
  </si>
  <si>
    <t>R1,R4, R6, R10</t>
  </si>
  <si>
    <t>Panasonic Electronic Components</t>
  </si>
  <si>
    <t>ERA-2AEB103X</t>
  </si>
  <si>
    <t>Resistors 10k</t>
  </si>
  <si>
    <t>R12</t>
  </si>
  <si>
    <t>YAGEO</t>
  </si>
  <si>
    <t>RC0402FR-0730K1L</t>
  </si>
  <si>
    <t>Resistor 30.1k</t>
  </si>
  <si>
    <t>R16,R17</t>
  </si>
  <si>
    <t>RC0402FR-072K2L</t>
  </si>
  <si>
    <t>Resistors 2.2k</t>
  </si>
  <si>
    <t>R5,R13</t>
  </si>
  <si>
    <t xml:space="preserve">ERA-2AEB4022X </t>
  </si>
  <si>
    <t>Resistors 40.2k</t>
  </si>
  <si>
    <t>R7,R8,R15</t>
  </si>
  <si>
    <t xml:space="preserve">RC0402JR-074K7L </t>
  </si>
  <si>
    <r>
      <rPr>
        <rFont val="Calibri"/>
        <color theme="1"/>
        <sz val="11.0"/>
      </rPr>
      <t xml:space="preserve">Resistors </t>
    </r>
    <r>
      <rPr>
        <rFont val="Arial"/>
        <color theme="1"/>
        <sz val="10.0"/>
      </rPr>
      <t>4.7K</t>
    </r>
  </si>
  <si>
    <t>R9</t>
  </si>
  <si>
    <t xml:space="preserve">ERJ-2RKF1001X </t>
  </si>
  <si>
    <r>
      <rPr>
        <rFont val="Calibri"/>
        <color theme="1"/>
        <sz val="11.0"/>
      </rPr>
      <t>Resistors 1</t>
    </r>
    <r>
      <rPr>
        <rFont val="Arial"/>
        <color theme="1"/>
        <sz val="10.0"/>
      </rPr>
      <t>K</t>
    </r>
  </si>
  <si>
    <t>R11</t>
  </si>
  <si>
    <t>RC0402FR-07158KL</t>
  </si>
  <si>
    <r>
      <rPr>
        <rFont val="Calibri"/>
        <color theme="1"/>
        <sz val="11.0"/>
      </rPr>
      <t xml:space="preserve">Resistor </t>
    </r>
    <r>
      <rPr>
        <rFont val="Arial"/>
        <color theme="1"/>
        <sz val="10.0"/>
      </rPr>
      <t>158k</t>
    </r>
  </si>
  <si>
    <t>R14</t>
  </si>
  <si>
    <t>RC0402JR-0747KL</t>
  </si>
  <si>
    <t>Resistors 47.5k</t>
  </si>
  <si>
    <t>RF-RECIEVER,U$14</t>
  </si>
  <si>
    <t>68000-102HLF</t>
  </si>
  <si>
    <t>PINHD-1X02</t>
  </si>
  <si>
    <t>U$1</t>
  </si>
  <si>
    <t>10129378-904001BLF</t>
  </si>
  <si>
    <t>PINHD-1X04</t>
  </si>
  <si>
    <r>
      <rPr>
        <rFont val="Calibri"/>
        <color theme="1"/>
        <sz val="11.0"/>
      </rPr>
      <t>U$2,</t>
    </r>
    <r>
      <rPr>
        <rFont val="Calibri"/>
        <color theme="1"/>
        <sz val="11.0"/>
      </rPr>
      <t>U$4,U$6,U$8,U$10</t>
    </r>
  </si>
  <si>
    <t>Gold-Plated 4mm 4.0mm Female Banana Plug Bullet Connector Adapter connected to VDD</t>
  </si>
  <si>
    <r>
      <rPr>
        <rFont val="Calibri"/>
        <color theme="1"/>
        <sz val="11.0"/>
      </rPr>
      <t>U$3,</t>
    </r>
    <r>
      <rPr>
        <rFont val="Calibri"/>
        <color theme="1"/>
        <sz val="11.0"/>
      </rPr>
      <t>U$5,U$7,U$9,U$11</t>
    </r>
  </si>
  <si>
    <t>Gold-Plated 4mm 4.0mm Female Banana Plug Bullet Connector Adapter connected to VSS</t>
  </si>
  <si>
    <r>
      <rPr>
        <rFont val="Calibri"/>
        <color theme="1"/>
        <sz val="11.0"/>
      </rPr>
      <t>U$12,</t>
    </r>
    <r>
      <rPr>
        <rFont val="Calibri"/>
        <color theme="1"/>
        <sz val="11.0"/>
      </rPr>
      <t>U$13</t>
    </r>
  </si>
  <si>
    <t>68001-203HLF</t>
  </si>
  <si>
    <t>PINHD-1X03</t>
  </si>
  <si>
    <t>U$55</t>
  </si>
  <si>
    <t>Diodes Inc.</t>
  </si>
  <si>
    <t>AP63300WU-7</t>
  </si>
  <si>
    <t>5 V Buck Converter</t>
  </si>
  <si>
    <t>SOT-23-6 Thin</t>
  </si>
  <si>
    <t>U5</t>
  </si>
  <si>
    <t>CEVA Technologies</t>
  </si>
  <si>
    <t>BNO085</t>
  </si>
  <si>
    <t>BNO085 IMU</t>
  </si>
  <si>
    <t>28-LGA</t>
  </si>
  <si>
    <t>U3</t>
  </si>
  <si>
    <t>STMicroelectronics</t>
  </si>
  <si>
    <t>STM32F756VGT6</t>
  </si>
  <si>
    <t>STM32F756VGT6 Microcontroller</t>
  </si>
  <si>
    <t xml:space="preserve">100-LQFP </t>
  </si>
  <si>
    <t xml:space="preserve">link </t>
  </si>
  <si>
    <r>
      <rPr>
        <rFont val="Calibri"/>
        <color theme="1"/>
      </rPr>
      <t xml:space="preserve">U33, </t>
    </r>
    <r>
      <rPr>
        <rFont val="Calibri"/>
        <color theme="1"/>
      </rPr>
      <t>U2</t>
    </r>
  </si>
  <si>
    <t>Texas Instruments</t>
  </si>
  <si>
    <t xml:space="preserve">TLV75533PDYDR </t>
  </si>
  <si>
    <t>3.3 V LDO</t>
  </si>
  <si>
    <t>SC-74A</t>
  </si>
  <si>
    <t>C6</t>
  </si>
  <si>
    <t>EPCOS - TDK Electronics</t>
  </si>
  <si>
    <t>B41866C5108M000</t>
  </si>
  <si>
    <t>Capacitor 1000uF</t>
  </si>
  <si>
    <t>L2, L3</t>
  </si>
  <si>
    <t>BLM15EG121SN1D</t>
  </si>
  <si>
    <t>Ferrite Beads 120 ohms</t>
  </si>
  <si>
    <t>C10, C33</t>
  </si>
  <si>
    <t>GRM1555C1H470JA01D</t>
  </si>
  <si>
    <t>Capacitor 47pF</t>
  </si>
  <si>
    <t>Total:</t>
  </si>
  <si>
    <t># of SMD</t>
  </si>
  <si>
    <t># of TH</t>
  </si>
  <si>
    <t># of BGA/QFP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</si>
</sst>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color theme="1"/>
      <name val="Roboto"/>
    </font>
    <font>
      <b/>
      <u/>
      <sz val="10.0"/>
      <color rgb="FF0000FF"/>
      <name val="Arial"/>
    </font>
    <font>
      <color theme="1"/>
      <name val="Calibri"/>
      <scheme val="minor"/>
    </font>
    <font>
      <u/>
      <color rgb="FF0000FF"/>
    </font>
    <font>
      <u/>
      <sz val="10.0"/>
      <color rgb="FF0000FF"/>
      <name val="Arial"/>
    </font>
    <font>
      <u/>
      <sz val="11.0"/>
      <color rgb="FF0000FF"/>
      <name val="Calibri"/>
    </font>
    <font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" fillId="0" fontId="4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49" xfId="0" applyAlignment="1" applyBorder="1" applyFont="1" applyNumberFormat="1">
      <alignment horizontal="left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horizontal="left" shrinkToFit="0" vertical="center" wrapText="0"/>
    </xf>
    <xf borderId="0" fillId="2" fontId="11" numFmtId="0" xfId="0" applyAlignment="1" applyFill="1" applyFont="1">
      <alignment horizontal="left" readingOrder="0" shrinkToFit="0" vertical="top" wrapText="0"/>
    </xf>
    <xf borderId="1" fillId="0" fontId="12" numFmtId="0" xfId="0" applyAlignment="1" applyBorder="1" applyFont="1">
      <alignment horizontal="left" readingOrder="0" shrinkToFit="0" vertical="bottom" wrapText="1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3" numFmtId="0" xfId="0" applyFont="1"/>
    <xf borderId="0" fillId="0" fontId="14" numFmtId="0" xfId="0" applyAlignment="1" applyFont="1">
      <alignment readingOrder="0"/>
    </xf>
    <xf borderId="1" fillId="0" fontId="15" numFmtId="0" xfId="0" applyAlignment="1" applyBorder="1" applyFont="1">
      <alignment horizontal="left" readingOrder="0" shrinkToFit="0" vertical="bottom" wrapText="1"/>
    </xf>
    <xf borderId="1" fillId="0" fontId="5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horizontal="left" shrinkToFit="0" vertical="bottom" wrapText="0"/>
    </xf>
    <xf borderId="0" fillId="0" fontId="17" numFmtId="0" xfId="0" applyAlignment="1" applyFont="1">
      <alignment shrinkToFit="0" vertical="center" wrapText="0"/>
    </xf>
    <xf borderId="1" fillId="0" fontId="5" numFmtId="0" xfId="0" applyAlignment="1" applyBorder="1" applyFont="1">
      <alignment horizontal="left" readingOrder="0" shrinkToFit="0" vertical="bottom" wrapText="1"/>
    </xf>
    <xf borderId="0" fillId="0" fontId="17" numFmtId="0" xfId="0" applyAlignment="1" applyFont="1">
      <alignment readingOrder="0" shrinkToFit="0" vertical="center" wrapText="0"/>
    </xf>
    <xf borderId="1" fillId="0" fontId="18" numFmtId="0" xfId="0" applyAlignment="1" applyBorder="1" applyFont="1">
      <alignment horizontal="left" shrinkToFit="0" vertical="bottom" wrapText="1"/>
    </xf>
    <xf borderId="0" fillId="0" fontId="17" numFmtId="0" xfId="0" applyFont="1"/>
    <xf borderId="0" fillId="2" fontId="11" numFmtId="0" xfId="0" applyAlignment="1" applyFont="1">
      <alignment horizontal="left"/>
    </xf>
    <xf borderId="0" fillId="3" fontId="5" numFmtId="0" xfId="0" applyAlignment="1" applyFill="1" applyFont="1">
      <alignment readingOrder="0" vertical="bottom"/>
    </xf>
    <xf borderId="1" fillId="3" fontId="4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vertical="bottom"/>
    </xf>
    <xf borderId="1" fillId="3" fontId="5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19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horizontal="right" shrinkToFit="0" vertical="bottom" wrapText="1"/>
    </xf>
    <xf borderId="0" fillId="3" fontId="5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0" xfId="0" applyAlignment="1" applyFont="1">
      <alignment vertical="bottom"/>
    </xf>
    <xf borderId="0" fillId="3" fontId="5" numFmtId="0" xfId="0" applyAlignment="1" applyFont="1">
      <alignment shrinkToFit="0" vertical="bottom" wrapText="1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1"/>
    </xf>
    <xf borderId="0" fillId="3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right" vertical="bottom"/>
    </xf>
    <xf borderId="1" fillId="0" fontId="20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L37" displayName="Table_1" name="Table_1" id="1">
  <tableColumns count="12">
    <tableColumn name="Item #" id="1"/>
    <tableColumn name="*Ref Des" id="2"/>
    <tableColumn name="*Qty" id="3"/>
    <tableColumn name="Manufacturer" id="4"/>
    <tableColumn name="*Mfg Part #" id="5"/>
    <tableColumn name="Description / Value" id="6"/>
    <tableColumn name="*Package" id="7"/>
    <tableColumn name="Type" id="8"/>
    <tableColumn name="Your Instructions / Notes" id="9"/>
    <tableColumn name="Unit Cost" id="10"/>
    <tableColumn name="Total Cost" id="11"/>
    <tableColumn name="Website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38:L42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panasonic-electronic-components/ERA-2AEB4022X/2026197" TargetMode="External"/><Relationship Id="rId22" Type="http://schemas.openxmlformats.org/officeDocument/2006/relationships/hyperlink" Target="https://www.digikey.com/en/products/detail/panasonic-electronic-components/ERJ-2RKF1001X/79729" TargetMode="External"/><Relationship Id="rId21" Type="http://schemas.openxmlformats.org/officeDocument/2006/relationships/hyperlink" Target="https://www.digikey.com/en/products/detail/yageo/RC0402JR-074K7L/726477" TargetMode="External"/><Relationship Id="rId24" Type="http://schemas.openxmlformats.org/officeDocument/2006/relationships/hyperlink" Target="https://www.digikey.com/en/products/detail/yageo/RC0402JR-0747KL/726485" TargetMode="External"/><Relationship Id="rId23" Type="http://schemas.openxmlformats.org/officeDocument/2006/relationships/hyperlink" Target="https://www.digikey.com/en/products/detail/yageo/RC0402FR-07158KL/5280850" TargetMode="External"/><Relationship Id="rId1" Type="http://schemas.openxmlformats.org/officeDocument/2006/relationships/hyperlink" Target="https://www.digikey.com/en/products/detail/bosch-sensortec/BMP581/16036134" TargetMode="External"/><Relationship Id="rId2" Type="http://schemas.openxmlformats.org/officeDocument/2006/relationships/hyperlink" Target="https://www.digikey.com/en/products/detail/nidec-components-corporation/CL-SB-12B-01T/3507823?s=N4IgTCBcDaIMIBkC0BlAQkgjGDAGTAKiALoC%2BQA" TargetMode="External"/><Relationship Id="rId3" Type="http://schemas.openxmlformats.org/officeDocument/2006/relationships/hyperlink" Target="https://www.digikey.com/en/products/detail/kemet/C0402C150J8HACTU/7945104?s=N4IgTCBcDaIMIAYAsCxwIwFYECkAcAEgIJwAqAqgAQgC6AvkA" TargetMode="External"/><Relationship Id="rId4" Type="http://schemas.openxmlformats.org/officeDocument/2006/relationships/hyperlink" Target="https://www.digikey.com/en/products/detail/samsung-electro-mechanics/CL05A226MQ5N6J8/7320595" TargetMode="External"/><Relationship Id="rId9" Type="http://schemas.openxmlformats.org/officeDocument/2006/relationships/hyperlink" Target="https://www.digikey.com/en/products/detail/ndk-nihon-dempa-kogyo-co-ltd/STDCRG1-16M/2261470?s=N4IgTCBcDaIMoBUAiBhASgcQIwFosDYBZAAhAF0BfIA" TargetMode="External"/><Relationship Id="rId26" Type="http://schemas.openxmlformats.org/officeDocument/2006/relationships/hyperlink" Target="https://www.digikey.com/en/products/detail/amphenol-cs-fci/10129378-904001BLF/7915932" TargetMode="External"/><Relationship Id="rId25" Type="http://schemas.openxmlformats.org/officeDocument/2006/relationships/hyperlink" Target="https://www.digikey.com/en/products/detail/amphenol-cs-fci/68000-102HLF/1493545" TargetMode="External"/><Relationship Id="rId28" Type="http://schemas.openxmlformats.org/officeDocument/2006/relationships/hyperlink" Target="https://www.digikey.com/en/products/detail/diodes-incorporated/AP63300WU-7/10491510" TargetMode="External"/><Relationship Id="rId27" Type="http://schemas.openxmlformats.org/officeDocument/2006/relationships/hyperlink" Target="https://www.digikey.com/en/products/detail/amphenol-cs-fci/68001-203HLF/2023312" TargetMode="External"/><Relationship Id="rId5" Type="http://schemas.openxmlformats.org/officeDocument/2006/relationships/hyperlink" Target="https://www.digikey.com/en/products/detail/samsung-electro-mechanics/CL05A104KA5NNNC/3886701" TargetMode="External"/><Relationship Id="rId6" Type="http://schemas.openxmlformats.org/officeDocument/2006/relationships/hyperlink" Target="https://www.digikey.com/en/products/detail/samsung-electro-mechanics/CL05A225KP5NSNC/3886766" TargetMode="External"/><Relationship Id="rId29" Type="http://schemas.openxmlformats.org/officeDocument/2006/relationships/hyperlink" Target="https://www.digikey.com/en/products/detail/ceva-technologies-inc/BNO085/9445940" TargetMode="External"/><Relationship Id="rId7" Type="http://schemas.openxmlformats.org/officeDocument/2006/relationships/hyperlink" Target="https://www.digikey.com/en/products/detail/samsung-electro-mechanics/CL05A105KP5NNNC/3886734" TargetMode="External"/><Relationship Id="rId8" Type="http://schemas.openxmlformats.org/officeDocument/2006/relationships/hyperlink" Target="https://www.digikey.com/en/products/detail/murata-electronics/GRM21BR61H106KE43L/10326316" TargetMode="External"/><Relationship Id="rId31" Type="http://schemas.openxmlformats.org/officeDocument/2006/relationships/hyperlink" Target="https://www.digikey.com/en/products/detail/texas-instruments/TLV75533PDYDR/22531567?s=N4IgTCBcDaICoBkBqB2ArGgzJgCgEQE08AlEAXQF8g" TargetMode="External"/><Relationship Id="rId30" Type="http://schemas.openxmlformats.org/officeDocument/2006/relationships/hyperlink" Target="https://www.digikey.com/en/products/detail/stmicroelectronics/STM32F756VGT6/6137828?s=N4IgTCBcDaIMoBUCyBmMAxA7AVgGwDUBxBXEAXQF8g" TargetMode="External"/><Relationship Id="rId11" Type="http://schemas.openxmlformats.org/officeDocument/2006/relationships/hyperlink" Target="https://www.digikey.com/en/products/detail/amphenol-cs-fci/10129381-916001BLF/7916090" TargetMode="External"/><Relationship Id="rId33" Type="http://schemas.openxmlformats.org/officeDocument/2006/relationships/hyperlink" Target="https://www.digikey.com/en/products/detail/murata-electronics/BLM15EG121SN1D/1016163?s=N4IgTCBcDaILIFcBOBDALigBAIwDYFsBGAVgFMBzQsQgZwDtCATEAXQF8g" TargetMode="External"/><Relationship Id="rId10" Type="http://schemas.openxmlformats.org/officeDocument/2006/relationships/hyperlink" Target="https://www.digikey.com/en/products/detail/mcc-micro-commercial-components/SM5817PL-TP/1793251" TargetMode="External"/><Relationship Id="rId32" Type="http://schemas.openxmlformats.org/officeDocument/2006/relationships/hyperlink" Target="https://www.digikey.com/en/products/detail/epcos-tdk-electronics/B41866C5108M000/5844975?s=N4IgTCBcDaIEIBYCMAOAbGgwgViQBhQFk8SQBdAXyA" TargetMode="External"/><Relationship Id="rId13" Type="http://schemas.openxmlformats.org/officeDocument/2006/relationships/hyperlink" Target="https://www.digikey.com/en/products/detail/amphenol-cs-fci/67997-210HLF/1878541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digikey.com/en/products/detail/amphenol-cs-fci/10129381-914004BLF/7916089" TargetMode="External"/><Relationship Id="rId34" Type="http://schemas.openxmlformats.org/officeDocument/2006/relationships/hyperlink" Target="https://www.digikey.com/en/products/detail/murata-electronics/GRM1555C1H470JA01D/3693853" TargetMode="External"/><Relationship Id="rId15" Type="http://schemas.openxmlformats.org/officeDocument/2006/relationships/hyperlink" Target="https://www.digikey.com/en/products/detail/amphenol-cs-fci/10129378-908001BLF/7915949" TargetMode="External"/><Relationship Id="rId14" Type="http://schemas.openxmlformats.org/officeDocument/2006/relationships/hyperlink" Target="https://www.digikey.com/en/products/detail/amphenol-cs-fci/75915-305LF/1523411" TargetMode="External"/><Relationship Id="rId17" Type="http://schemas.openxmlformats.org/officeDocument/2006/relationships/hyperlink" Target="https://www.digikey.com/en/products/detail/panasonic-electronic-components/ERA-2AEB103X/1706029" TargetMode="External"/><Relationship Id="rId39" Type="http://schemas.openxmlformats.org/officeDocument/2006/relationships/table" Target="../tables/table2.xml"/><Relationship Id="rId16" Type="http://schemas.openxmlformats.org/officeDocument/2006/relationships/hyperlink" Target="https://www.digikey.com/en/products/detail/w%C3%BCrth-elektronik/74437334068/5051065" TargetMode="External"/><Relationship Id="rId38" Type="http://schemas.openxmlformats.org/officeDocument/2006/relationships/table" Target="../tables/table1.xml"/><Relationship Id="rId19" Type="http://schemas.openxmlformats.org/officeDocument/2006/relationships/hyperlink" Target="https://www.digikey.com/en/products/detail/yageo/RC0402FR-072K2L/726553" TargetMode="External"/><Relationship Id="rId18" Type="http://schemas.openxmlformats.org/officeDocument/2006/relationships/hyperlink" Target="https://www.digikey.com/en/products/detail/yageo/RC0402FR-0730K1L/7265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50.43"/>
    <col customWidth="1" min="3" max="3" width="12.29"/>
    <col customWidth="1" min="4" max="4" width="43.14"/>
    <col customWidth="1" min="5" max="5" width="23.29"/>
    <col customWidth="1" min="6" max="6" width="81.57"/>
    <col customWidth="1" min="7" max="7" width="23.86"/>
    <col customWidth="1" min="8" max="8" width="19.43"/>
    <col customWidth="1" min="9" max="9" width="26.43"/>
    <col customWidth="1" min="10" max="12" width="19.29"/>
    <col customWidth="1" min="13" max="26" width="8.71"/>
  </cols>
  <sheetData>
    <row r="1" ht="14.25" customHeight="1">
      <c r="A1" s="1"/>
      <c r="B1" s="1"/>
      <c r="C1" s="1"/>
      <c r="D1" s="2"/>
      <c r="G1" s="3"/>
      <c r="H1" s="1"/>
      <c r="I1" s="1"/>
      <c r="J1" s="1"/>
      <c r="K1" s="1"/>
      <c r="L1" s="1"/>
    </row>
    <row r="2" ht="14.25" customHeight="1">
      <c r="A2" s="1"/>
      <c r="B2" s="1"/>
      <c r="C2" s="1"/>
      <c r="D2" s="1"/>
      <c r="E2" s="1"/>
      <c r="F2" s="1"/>
      <c r="G2" s="3"/>
      <c r="H2" s="1"/>
      <c r="I2" s="1"/>
      <c r="J2" s="1"/>
      <c r="K2" s="1"/>
      <c r="L2" s="1"/>
    </row>
    <row r="3" ht="14.25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ht="14.25" customHeight="1">
      <c r="A4" s="6">
        <v>1.0</v>
      </c>
      <c r="B4" s="7" t="s">
        <v>12</v>
      </c>
      <c r="C4" s="8">
        <v>1.0</v>
      </c>
      <c r="D4" s="9" t="s">
        <v>13</v>
      </c>
      <c r="E4" s="10" t="s">
        <v>12</v>
      </c>
      <c r="F4" s="11" t="s">
        <v>14</v>
      </c>
      <c r="G4" s="12" t="s">
        <v>15</v>
      </c>
      <c r="H4" s="13" t="s">
        <v>16</v>
      </c>
      <c r="I4" s="14"/>
      <c r="J4" s="15">
        <v>2.92</v>
      </c>
      <c r="K4" s="16">
        <f t="shared" ref="K4:K13" si="1">C4*J4</f>
        <v>2.92</v>
      </c>
      <c r="L4" s="17" t="s">
        <v>17</v>
      </c>
      <c r="M4" s="18"/>
      <c r="N4" s="18"/>
      <c r="O4" s="18"/>
      <c r="P4" s="18"/>
      <c r="Q4" s="18"/>
      <c r="R4" s="18"/>
      <c r="S4" s="18"/>
      <c r="T4" s="18"/>
    </row>
    <row r="5" ht="14.25" customHeight="1">
      <c r="A5" s="19">
        <v>2.0</v>
      </c>
      <c r="B5" s="7" t="s">
        <v>18</v>
      </c>
      <c r="C5" s="20">
        <v>2.0</v>
      </c>
      <c r="D5" s="21" t="s">
        <v>19</v>
      </c>
      <c r="E5" s="21" t="s">
        <v>20</v>
      </c>
      <c r="F5" s="21" t="s">
        <v>21</v>
      </c>
      <c r="G5" s="12" t="s">
        <v>22</v>
      </c>
      <c r="H5" s="22" t="s">
        <v>23</v>
      </c>
      <c r="I5" s="23"/>
      <c r="J5" s="19">
        <v>1.1</v>
      </c>
      <c r="K5" s="16">
        <f t="shared" si="1"/>
        <v>2.2</v>
      </c>
      <c r="L5" s="24" t="s">
        <v>17</v>
      </c>
      <c r="M5" s="18"/>
      <c r="N5" s="18"/>
      <c r="O5" s="18"/>
      <c r="P5" s="18"/>
      <c r="Q5" s="18"/>
      <c r="R5" s="18"/>
      <c r="S5" s="18"/>
      <c r="T5" s="18"/>
    </row>
    <row r="6" ht="14.25" customHeight="1">
      <c r="A6" s="19">
        <v>3.0</v>
      </c>
      <c r="B6" s="25" t="s">
        <v>24</v>
      </c>
      <c r="C6" s="8">
        <v>2.0</v>
      </c>
      <c r="D6" s="9" t="s">
        <v>25</v>
      </c>
      <c r="E6" s="26" t="s">
        <v>26</v>
      </c>
      <c r="F6" s="27" t="s">
        <v>27</v>
      </c>
      <c r="G6" s="21">
        <v>402.0</v>
      </c>
      <c r="H6" s="28" t="s">
        <v>23</v>
      </c>
      <c r="I6" s="14"/>
      <c r="J6" s="16">
        <v>0.1</v>
      </c>
      <c r="K6" s="16">
        <f t="shared" si="1"/>
        <v>0.2</v>
      </c>
      <c r="L6" s="29" t="s">
        <v>17</v>
      </c>
      <c r="M6" s="18"/>
      <c r="N6" s="18"/>
      <c r="O6" s="18"/>
      <c r="P6" s="18"/>
      <c r="Q6" s="18"/>
      <c r="R6" s="18"/>
      <c r="S6" s="18"/>
      <c r="T6" s="18"/>
    </row>
    <row r="7" ht="14.25" customHeight="1">
      <c r="A7" s="6">
        <v>4.0</v>
      </c>
      <c r="B7" s="25" t="s">
        <v>28</v>
      </c>
      <c r="C7" s="8">
        <v>2.0</v>
      </c>
      <c r="D7" s="9" t="s">
        <v>29</v>
      </c>
      <c r="E7" s="26" t="s">
        <v>30</v>
      </c>
      <c r="F7" s="27" t="s">
        <v>31</v>
      </c>
      <c r="G7" s="21">
        <v>402.0</v>
      </c>
      <c r="H7" s="28" t="s">
        <v>23</v>
      </c>
      <c r="I7" s="14"/>
      <c r="J7" s="15">
        <v>0.47</v>
      </c>
      <c r="K7" s="16">
        <f t="shared" si="1"/>
        <v>0.94</v>
      </c>
      <c r="L7" s="29" t="s">
        <v>17</v>
      </c>
      <c r="M7" s="18"/>
      <c r="N7" s="18"/>
      <c r="O7" s="18"/>
      <c r="P7" s="18"/>
      <c r="Q7" s="18"/>
      <c r="R7" s="18"/>
      <c r="S7" s="18"/>
      <c r="T7" s="18"/>
    </row>
    <row r="8" ht="14.25" customHeight="1">
      <c r="A8" s="19">
        <v>5.0</v>
      </c>
      <c r="B8" s="7" t="s">
        <v>32</v>
      </c>
      <c r="C8" s="20">
        <v>17.0</v>
      </c>
      <c r="D8" s="9" t="s">
        <v>29</v>
      </c>
      <c r="E8" s="26" t="s">
        <v>33</v>
      </c>
      <c r="F8" s="27" t="s">
        <v>34</v>
      </c>
      <c r="G8" s="21">
        <v>402.0</v>
      </c>
      <c r="H8" s="28" t="s">
        <v>23</v>
      </c>
      <c r="I8" s="14"/>
      <c r="J8" s="16">
        <v>0.1</v>
      </c>
      <c r="K8" s="16">
        <f t="shared" si="1"/>
        <v>1.7</v>
      </c>
      <c r="L8" s="29" t="s">
        <v>17</v>
      </c>
      <c r="M8" s="18"/>
      <c r="N8" s="18"/>
      <c r="O8" s="18"/>
      <c r="P8" s="18"/>
      <c r="Q8" s="18"/>
      <c r="R8" s="18"/>
      <c r="S8" s="18"/>
      <c r="T8" s="18"/>
    </row>
    <row r="9" ht="14.25" customHeight="1">
      <c r="A9" s="19">
        <v>6.0</v>
      </c>
      <c r="B9" s="25" t="s">
        <v>35</v>
      </c>
      <c r="C9" s="8">
        <v>2.0</v>
      </c>
      <c r="D9" s="9" t="s">
        <v>29</v>
      </c>
      <c r="E9" s="26" t="s">
        <v>36</v>
      </c>
      <c r="F9" s="27" t="s">
        <v>37</v>
      </c>
      <c r="G9" s="21">
        <v>402.0</v>
      </c>
      <c r="H9" s="28" t="s">
        <v>23</v>
      </c>
      <c r="I9" s="14"/>
      <c r="J9" s="15">
        <v>0.14</v>
      </c>
      <c r="K9" s="16">
        <f t="shared" si="1"/>
        <v>0.28</v>
      </c>
      <c r="L9" s="29" t="s">
        <v>17</v>
      </c>
      <c r="M9" s="18"/>
      <c r="N9" s="18"/>
      <c r="O9" s="18"/>
      <c r="P9" s="18"/>
      <c r="Q9" s="18"/>
      <c r="R9" s="18"/>
      <c r="S9" s="18"/>
      <c r="T9" s="18"/>
    </row>
    <row r="10" ht="14.25" customHeight="1">
      <c r="A10" s="6">
        <v>7.0</v>
      </c>
      <c r="B10" s="30" t="s">
        <v>38</v>
      </c>
      <c r="C10" s="31">
        <v>6.0</v>
      </c>
      <c r="D10" s="32" t="s">
        <v>29</v>
      </c>
      <c r="E10" s="33" t="s">
        <v>39</v>
      </c>
      <c r="F10" s="34" t="s">
        <v>40</v>
      </c>
      <c r="G10" s="35">
        <v>402.0</v>
      </c>
      <c r="H10" s="36" t="s">
        <v>23</v>
      </c>
      <c r="I10" s="37"/>
      <c r="J10" s="38">
        <v>0.1</v>
      </c>
      <c r="K10" s="38">
        <f t="shared" si="1"/>
        <v>0.6</v>
      </c>
      <c r="L10" s="39" t="s">
        <v>17</v>
      </c>
    </row>
    <row r="11" ht="14.25" customHeight="1">
      <c r="A11" s="19">
        <v>8.0</v>
      </c>
      <c r="B11" s="25" t="s">
        <v>41</v>
      </c>
      <c r="C11" s="8">
        <v>3.0</v>
      </c>
      <c r="D11" s="9" t="s">
        <v>42</v>
      </c>
      <c r="E11" s="26" t="s">
        <v>43</v>
      </c>
      <c r="F11" s="27" t="s">
        <v>44</v>
      </c>
      <c r="G11" s="21">
        <v>805.0</v>
      </c>
      <c r="H11" s="28" t="s">
        <v>23</v>
      </c>
      <c r="I11" s="14"/>
      <c r="J11" s="16">
        <v>0.3</v>
      </c>
      <c r="K11" s="16">
        <f t="shared" si="1"/>
        <v>0.9</v>
      </c>
      <c r="L11" s="29" t="s">
        <v>17</v>
      </c>
      <c r="M11" s="18"/>
      <c r="N11" s="18"/>
      <c r="O11" s="18"/>
      <c r="P11" s="18"/>
      <c r="Q11" s="18"/>
      <c r="R11" s="18"/>
      <c r="S11" s="18"/>
      <c r="T11" s="18"/>
    </row>
    <row r="12" ht="14.25" customHeight="1">
      <c r="A12" s="19">
        <v>9.0</v>
      </c>
      <c r="B12" s="25" t="s">
        <v>45</v>
      </c>
      <c r="C12" s="8">
        <v>1.0</v>
      </c>
      <c r="D12" s="9" t="s">
        <v>46</v>
      </c>
      <c r="E12" s="21" t="s">
        <v>47</v>
      </c>
      <c r="F12" s="21" t="s">
        <v>48</v>
      </c>
      <c r="G12" s="40" t="s">
        <v>49</v>
      </c>
      <c r="H12" s="13" t="s">
        <v>16</v>
      </c>
      <c r="I12" s="14"/>
      <c r="J12" s="16">
        <v>0.61</v>
      </c>
      <c r="K12" s="16">
        <f t="shared" si="1"/>
        <v>0.61</v>
      </c>
      <c r="L12" s="29" t="s">
        <v>17</v>
      </c>
    </row>
    <row r="13" ht="14.25" customHeight="1">
      <c r="A13" s="6">
        <v>10.0</v>
      </c>
      <c r="B13" s="25" t="s">
        <v>50</v>
      </c>
      <c r="C13" s="8">
        <v>2.0</v>
      </c>
      <c r="D13" s="9" t="s">
        <v>51</v>
      </c>
      <c r="E13" s="21" t="s">
        <v>52</v>
      </c>
      <c r="F13" s="27" t="s">
        <v>53</v>
      </c>
      <c r="G13" s="12" t="s">
        <v>54</v>
      </c>
      <c r="H13" s="16" t="s">
        <v>23</v>
      </c>
      <c r="I13" s="14"/>
      <c r="J13" s="16">
        <v>0.15</v>
      </c>
      <c r="K13" s="16">
        <f t="shared" si="1"/>
        <v>0.3</v>
      </c>
      <c r="L13" s="29" t="s">
        <v>17</v>
      </c>
    </row>
    <row r="14" ht="15.0" customHeight="1">
      <c r="A14" s="19">
        <v>11.0</v>
      </c>
      <c r="B14" s="7" t="s">
        <v>55</v>
      </c>
      <c r="C14" s="8">
        <v>11.0</v>
      </c>
      <c r="D14" s="9" t="s">
        <v>22</v>
      </c>
      <c r="E14" s="40" t="s">
        <v>22</v>
      </c>
      <c r="F14" s="21" t="s">
        <v>56</v>
      </c>
      <c r="G14" s="12"/>
      <c r="H14" s="16" t="s">
        <v>57</v>
      </c>
      <c r="I14" s="14"/>
      <c r="J14" s="28" t="s">
        <v>22</v>
      </c>
      <c r="K14" s="28"/>
      <c r="L14" s="21" t="s">
        <v>22</v>
      </c>
      <c r="M14" s="18"/>
      <c r="N14" s="18"/>
      <c r="O14" s="18"/>
      <c r="P14" s="18"/>
      <c r="Q14" s="18"/>
      <c r="R14" s="18"/>
      <c r="S14" s="18"/>
      <c r="T14" s="18"/>
    </row>
    <row r="15" ht="14.25" customHeight="1">
      <c r="A15" s="19">
        <v>12.0</v>
      </c>
      <c r="B15" s="25" t="s">
        <v>58</v>
      </c>
      <c r="C15" s="8">
        <v>2.0</v>
      </c>
      <c r="D15" s="9" t="s">
        <v>59</v>
      </c>
      <c r="E15" s="26" t="s">
        <v>60</v>
      </c>
      <c r="F15" s="21" t="s">
        <v>61</v>
      </c>
      <c r="G15" s="12"/>
      <c r="H15" s="16" t="s">
        <v>62</v>
      </c>
      <c r="I15" s="14"/>
      <c r="J15" s="15">
        <v>0.69</v>
      </c>
      <c r="K15" s="16">
        <f t="shared" ref="K15:K22" si="2">C15*J15</f>
        <v>1.38</v>
      </c>
      <c r="L15" s="29" t="s">
        <v>17</v>
      </c>
    </row>
    <row r="16" ht="14.25" customHeight="1">
      <c r="A16" s="6">
        <v>13.0</v>
      </c>
      <c r="B16" s="25" t="s">
        <v>63</v>
      </c>
      <c r="C16" s="8">
        <v>1.0</v>
      </c>
      <c r="D16" s="9" t="s">
        <v>59</v>
      </c>
      <c r="E16" s="26" t="s">
        <v>64</v>
      </c>
      <c r="F16" s="21" t="s">
        <v>65</v>
      </c>
      <c r="G16" s="12"/>
      <c r="H16" s="16" t="s">
        <v>62</v>
      </c>
      <c r="I16" s="14"/>
      <c r="J16" s="16">
        <v>0.29</v>
      </c>
      <c r="K16" s="16">
        <f t="shared" si="2"/>
        <v>0.29</v>
      </c>
      <c r="L16" s="29" t="s">
        <v>17</v>
      </c>
      <c r="M16" s="18"/>
      <c r="N16" s="18"/>
      <c r="O16" s="18"/>
      <c r="P16" s="18"/>
      <c r="Q16" s="18"/>
      <c r="R16" s="18"/>
      <c r="S16" s="18"/>
      <c r="T16" s="18"/>
    </row>
    <row r="17" ht="14.25" customHeight="1">
      <c r="A17" s="19">
        <v>14.0</v>
      </c>
      <c r="B17" s="25" t="s">
        <v>66</v>
      </c>
      <c r="C17" s="8">
        <v>2.0</v>
      </c>
      <c r="D17" s="9" t="s">
        <v>59</v>
      </c>
      <c r="E17" s="26" t="s">
        <v>67</v>
      </c>
      <c r="F17" s="21" t="s">
        <v>68</v>
      </c>
      <c r="G17" s="21"/>
      <c r="H17" s="16" t="s">
        <v>62</v>
      </c>
      <c r="I17" s="14"/>
      <c r="J17" s="15">
        <v>0.77</v>
      </c>
      <c r="K17" s="16">
        <f t="shared" si="2"/>
        <v>1.54</v>
      </c>
      <c r="L17" s="29" t="s">
        <v>17</v>
      </c>
    </row>
    <row r="18" ht="14.25" customHeight="1">
      <c r="A18" s="19">
        <v>15.0</v>
      </c>
      <c r="B18" s="25" t="s">
        <v>69</v>
      </c>
      <c r="C18" s="25">
        <v>1.0</v>
      </c>
      <c r="D18" s="9" t="s">
        <v>59</v>
      </c>
      <c r="E18" s="26" t="s">
        <v>70</v>
      </c>
      <c r="F18" s="21" t="s">
        <v>71</v>
      </c>
      <c r="G18" s="21"/>
      <c r="H18" s="16" t="s">
        <v>62</v>
      </c>
      <c r="I18" s="14"/>
      <c r="J18" s="16">
        <v>0.6</v>
      </c>
      <c r="K18" s="16">
        <f t="shared" si="2"/>
        <v>0.6</v>
      </c>
      <c r="L18" s="29" t="s">
        <v>17</v>
      </c>
    </row>
    <row r="19" ht="14.25" customHeight="1">
      <c r="A19" s="6">
        <v>16.0</v>
      </c>
      <c r="B19" s="25" t="s">
        <v>72</v>
      </c>
      <c r="C19" s="25">
        <v>2.0</v>
      </c>
      <c r="D19" s="9" t="s">
        <v>59</v>
      </c>
      <c r="E19" s="26" t="s">
        <v>73</v>
      </c>
      <c r="F19" s="21" t="s">
        <v>74</v>
      </c>
      <c r="G19" s="21"/>
      <c r="H19" s="16" t="s">
        <v>62</v>
      </c>
      <c r="I19" s="14"/>
      <c r="J19" s="15">
        <v>0.38</v>
      </c>
      <c r="K19" s="16">
        <f t="shared" si="2"/>
        <v>0.76</v>
      </c>
      <c r="L19" s="29" t="s">
        <v>17</v>
      </c>
    </row>
    <row r="20" ht="14.25" customHeight="1">
      <c r="A20" s="19">
        <v>17.0</v>
      </c>
      <c r="B20" s="25" t="s">
        <v>75</v>
      </c>
      <c r="C20" s="25">
        <v>1.0</v>
      </c>
      <c r="D20" s="10" t="s">
        <v>76</v>
      </c>
      <c r="E20" s="41">
        <v>7.4437334068E10</v>
      </c>
      <c r="F20" s="11" t="s">
        <v>77</v>
      </c>
      <c r="G20" s="10">
        <v>5020.0</v>
      </c>
      <c r="H20" s="16" t="s">
        <v>23</v>
      </c>
      <c r="I20" s="14"/>
      <c r="J20" s="15">
        <v>2.55</v>
      </c>
      <c r="K20" s="16">
        <f t="shared" si="2"/>
        <v>2.55</v>
      </c>
      <c r="L20" s="42" t="s">
        <v>17</v>
      </c>
    </row>
    <row r="21" ht="14.25" customHeight="1">
      <c r="A21" s="19">
        <v>18.0</v>
      </c>
      <c r="B21" s="7" t="s">
        <v>78</v>
      </c>
      <c r="C21" s="20">
        <v>3.0</v>
      </c>
      <c r="D21" s="9" t="s">
        <v>79</v>
      </c>
      <c r="E21" s="26" t="s">
        <v>80</v>
      </c>
      <c r="F21" s="21" t="s">
        <v>81</v>
      </c>
      <c r="G21" s="21">
        <v>402.0</v>
      </c>
      <c r="H21" s="16" t="s">
        <v>23</v>
      </c>
      <c r="I21" s="14"/>
      <c r="J21" s="16">
        <v>0.1</v>
      </c>
      <c r="K21" s="16">
        <f t="shared" si="2"/>
        <v>0.3</v>
      </c>
      <c r="L21" s="29" t="s">
        <v>17</v>
      </c>
    </row>
    <row r="22" ht="14.25" customHeight="1">
      <c r="A22" s="6">
        <v>19.0</v>
      </c>
      <c r="B22" s="43" t="s">
        <v>82</v>
      </c>
      <c r="C22" s="43">
        <v>1.0</v>
      </c>
      <c r="D22" s="43" t="s">
        <v>83</v>
      </c>
      <c r="E22" s="43" t="s">
        <v>84</v>
      </c>
      <c r="F22" s="43" t="s">
        <v>85</v>
      </c>
      <c r="G22" s="44">
        <v>402.0</v>
      </c>
      <c r="H22" s="43" t="s">
        <v>23</v>
      </c>
      <c r="J22" s="43">
        <v>0.1</v>
      </c>
      <c r="K22" s="45">
        <f t="shared" si="2"/>
        <v>0.1</v>
      </c>
      <c r="L22" s="46" t="s">
        <v>17</v>
      </c>
    </row>
    <row r="23" ht="14.25" customHeight="1">
      <c r="A23" s="19">
        <v>20.0</v>
      </c>
      <c r="B23" s="43" t="s">
        <v>86</v>
      </c>
      <c r="C23" s="43">
        <v>2.0</v>
      </c>
      <c r="D23" s="43" t="s">
        <v>83</v>
      </c>
      <c r="E23" s="43" t="s">
        <v>87</v>
      </c>
      <c r="F23" s="43" t="s">
        <v>88</v>
      </c>
      <c r="G23" s="44">
        <v>402.0</v>
      </c>
      <c r="H23" s="43" t="s">
        <v>23</v>
      </c>
      <c r="J23" s="43">
        <v>0.1</v>
      </c>
      <c r="K23" s="43">
        <v>0.2</v>
      </c>
      <c r="L23" s="46" t="s">
        <v>17</v>
      </c>
    </row>
    <row r="24" ht="14.25" customHeight="1">
      <c r="A24" s="19">
        <v>21.0</v>
      </c>
      <c r="B24" s="25" t="s">
        <v>89</v>
      </c>
      <c r="C24" s="25">
        <v>2.0</v>
      </c>
      <c r="D24" s="21" t="s">
        <v>79</v>
      </c>
      <c r="E24" s="26" t="s">
        <v>90</v>
      </c>
      <c r="F24" s="21" t="s">
        <v>91</v>
      </c>
      <c r="G24" s="21">
        <v>402.0</v>
      </c>
      <c r="H24" s="16" t="s">
        <v>23</v>
      </c>
      <c r="I24" s="14"/>
      <c r="J24" s="16">
        <v>0.1</v>
      </c>
      <c r="K24" s="16">
        <f t="shared" ref="K24:K30" si="3">C24*J24</f>
        <v>0.2</v>
      </c>
      <c r="L24" s="47" t="s">
        <v>17</v>
      </c>
    </row>
    <row r="25" ht="14.25" customHeight="1">
      <c r="A25" s="6">
        <v>22.0</v>
      </c>
      <c r="B25" s="25" t="s">
        <v>92</v>
      </c>
      <c r="C25" s="25">
        <v>3.0</v>
      </c>
      <c r="D25" s="21" t="s">
        <v>83</v>
      </c>
      <c r="E25" s="26" t="s">
        <v>93</v>
      </c>
      <c r="F25" s="21" t="s">
        <v>94</v>
      </c>
      <c r="G25" s="21">
        <v>402.0</v>
      </c>
      <c r="H25" s="16" t="s">
        <v>23</v>
      </c>
      <c r="I25" s="14"/>
      <c r="J25" s="16">
        <v>0.1</v>
      </c>
      <c r="K25" s="16">
        <f t="shared" si="3"/>
        <v>0.3</v>
      </c>
      <c r="L25" s="29" t="s">
        <v>17</v>
      </c>
    </row>
    <row r="26" ht="14.25" customHeight="1">
      <c r="A26" s="19">
        <v>23.0</v>
      </c>
      <c r="B26" s="25" t="s">
        <v>95</v>
      </c>
      <c r="C26" s="25">
        <v>1.0</v>
      </c>
      <c r="D26" s="21" t="s">
        <v>79</v>
      </c>
      <c r="E26" s="26" t="s">
        <v>96</v>
      </c>
      <c r="F26" s="21" t="s">
        <v>97</v>
      </c>
      <c r="G26" s="21">
        <v>402.0</v>
      </c>
      <c r="H26" s="16" t="s">
        <v>23</v>
      </c>
      <c r="I26" s="14"/>
      <c r="J26" s="16">
        <v>0.1</v>
      </c>
      <c r="K26" s="16">
        <f t="shared" si="3"/>
        <v>0.1</v>
      </c>
      <c r="L26" s="29" t="s">
        <v>17</v>
      </c>
    </row>
    <row r="27" ht="14.25" customHeight="1">
      <c r="A27" s="19">
        <v>24.0</v>
      </c>
      <c r="B27" s="25" t="s">
        <v>98</v>
      </c>
      <c r="C27" s="25">
        <v>1.0</v>
      </c>
      <c r="D27" s="10" t="s">
        <v>83</v>
      </c>
      <c r="E27" s="41" t="s">
        <v>99</v>
      </c>
      <c r="F27" s="10" t="s">
        <v>100</v>
      </c>
      <c r="G27" s="21">
        <v>402.0</v>
      </c>
      <c r="H27" s="16" t="s">
        <v>23</v>
      </c>
      <c r="I27" s="14"/>
      <c r="J27" s="16">
        <v>0.1</v>
      </c>
      <c r="K27" s="16">
        <f t="shared" si="3"/>
        <v>0.1</v>
      </c>
      <c r="L27" s="47" t="s">
        <v>17</v>
      </c>
    </row>
    <row r="28" ht="14.25" customHeight="1">
      <c r="A28" s="6">
        <v>25.0</v>
      </c>
      <c r="B28" s="25" t="s">
        <v>101</v>
      </c>
      <c r="C28" s="25">
        <v>1.0</v>
      </c>
      <c r="D28" s="21" t="s">
        <v>83</v>
      </c>
      <c r="E28" s="26" t="s">
        <v>102</v>
      </c>
      <c r="F28" s="10" t="s">
        <v>103</v>
      </c>
      <c r="G28" s="21">
        <v>402.0</v>
      </c>
      <c r="H28" s="16" t="s">
        <v>23</v>
      </c>
      <c r="I28" s="14"/>
      <c r="J28" s="16">
        <v>0.1</v>
      </c>
      <c r="K28" s="16">
        <f t="shared" si="3"/>
        <v>0.1</v>
      </c>
      <c r="L28" s="29" t="s">
        <v>17</v>
      </c>
    </row>
    <row r="29" ht="14.25" customHeight="1">
      <c r="A29" s="19">
        <v>26.0</v>
      </c>
      <c r="B29" s="25" t="s">
        <v>104</v>
      </c>
      <c r="C29" s="25">
        <v>2.0</v>
      </c>
      <c r="D29" s="9" t="s">
        <v>59</v>
      </c>
      <c r="E29" s="26" t="s">
        <v>105</v>
      </c>
      <c r="F29" s="21" t="s">
        <v>106</v>
      </c>
      <c r="G29" s="21"/>
      <c r="H29" s="16" t="s">
        <v>62</v>
      </c>
      <c r="I29" s="21"/>
      <c r="J29" s="48">
        <v>0.22</v>
      </c>
      <c r="K29" s="16">
        <f t="shared" si="3"/>
        <v>0.44</v>
      </c>
      <c r="L29" s="49" t="s">
        <v>17</v>
      </c>
    </row>
    <row r="30" ht="14.25" customHeight="1">
      <c r="A30" s="19">
        <v>27.0</v>
      </c>
      <c r="B30" s="50" t="s">
        <v>107</v>
      </c>
      <c r="C30" s="50">
        <v>1.0</v>
      </c>
      <c r="D30" s="9" t="s">
        <v>59</v>
      </c>
      <c r="E30" s="26" t="s">
        <v>108</v>
      </c>
      <c r="F30" s="21" t="s">
        <v>109</v>
      </c>
      <c r="G30" s="21"/>
      <c r="H30" s="16" t="s">
        <v>62</v>
      </c>
      <c r="I30" s="21"/>
      <c r="J30" s="48">
        <v>0.25</v>
      </c>
      <c r="K30" s="16">
        <f t="shared" si="3"/>
        <v>0.25</v>
      </c>
      <c r="L30" s="49" t="s">
        <v>17</v>
      </c>
    </row>
    <row r="31" ht="14.25" customHeight="1">
      <c r="A31" s="6">
        <v>28.0</v>
      </c>
      <c r="B31" s="50" t="s">
        <v>110</v>
      </c>
      <c r="C31" s="50">
        <v>5.0</v>
      </c>
      <c r="D31" s="21" t="s">
        <v>22</v>
      </c>
      <c r="E31" s="21" t="s">
        <v>22</v>
      </c>
      <c r="F31" s="21" t="s">
        <v>111</v>
      </c>
      <c r="G31" s="21"/>
      <c r="H31" s="16" t="s">
        <v>62</v>
      </c>
      <c r="I31" s="21"/>
      <c r="J31" s="28" t="s">
        <v>22</v>
      </c>
      <c r="K31" s="28"/>
      <c r="L31" s="21" t="s">
        <v>22</v>
      </c>
    </row>
    <row r="32" ht="14.25" customHeight="1">
      <c r="A32" s="19">
        <v>29.0</v>
      </c>
      <c r="B32" s="50" t="s">
        <v>112</v>
      </c>
      <c r="C32" s="50">
        <v>5.0</v>
      </c>
      <c r="D32" s="21" t="s">
        <v>22</v>
      </c>
      <c r="E32" s="21" t="s">
        <v>22</v>
      </c>
      <c r="F32" s="27" t="s">
        <v>113</v>
      </c>
      <c r="G32" s="21"/>
      <c r="H32" s="16" t="s">
        <v>62</v>
      </c>
      <c r="I32" s="21"/>
      <c r="J32" s="28" t="s">
        <v>22</v>
      </c>
      <c r="K32" s="28"/>
      <c r="L32" s="21" t="s">
        <v>22</v>
      </c>
    </row>
    <row r="33" ht="14.25" customHeight="1">
      <c r="A33" s="19">
        <v>30.0</v>
      </c>
      <c r="B33" s="50" t="s">
        <v>114</v>
      </c>
      <c r="C33" s="50">
        <v>2.0</v>
      </c>
      <c r="D33" s="9" t="s">
        <v>59</v>
      </c>
      <c r="E33" s="21" t="s">
        <v>115</v>
      </c>
      <c r="F33" s="21" t="s">
        <v>116</v>
      </c>
      <c r="G33" s="21"/>
      <c r="H33" s="16" t="s">
        <v>62</v>
      </c>
      <c r="I33" s="21"/>
      <c r="J33" s="48">
        <v>0.24</v>
      </c>
      <c r="K33" s="16">
        <f t="shared" ref="K33:K36" si="4">C33*J33</f>
        <v>0.48</v>
      </c>
      <c r="L33" s="49" t="s">
        <v>17</v>
      </c>
    </row>
    <row r="34" ht="14.25" customHeight="1">
      <c r="A34" s="6">
        <v>31.0</v>
      </c>
      <c r="B34" s="50" t="s">
        <v>117</v>
      </c>
      <c r="C34" s="50">
        <v>1.0</v>
      </c>
      <c r="D34" s="21" t="s">
        <v>118</v>
      </c>
      <c r="E34" s="51" t="s">
        <v>119</v>
      </c>
      <c r="F34" s="21" t="s">
        <v>120</v>
      </c>
      <c r="G34" s="21" t="s">
        <v>121</v>
      </c>
      <c r="H34" s="13" t="s">
        <v>23</v>
      </c>
      <c r="I34" s="21"/>
      <c r="J34" s="48">
        <v>0.84</v>
      </c>
      <c r="K34" s="16">
        <f t="shared" si="4"/>
        <v>0.84</v>
      </c>
      <c r="L34" s="17" t="s">
        <v>17</v>
      </c>
    </row>
    <row r="35" ht="14.25" customHeight="1">
      <c r="A35" s="19">
        <v>32.0</v>
      </c>
      <c r="B35" s="52" t="s">
        <v>122</v>
      </c>
      <c r="C35" s="50">
        <v>1.0</v>
      </c>
      <c r="D35" s="10" t="s">
        <v>123</v>
      </c>
      <c r="E35" s="10" t="s">
        <v>124</v>
      </c>
      <c r="F35" s="10" t="s">
        <v>125</v>
      </c>
      <c r="G35" s="10" t="s">
        <v>126</v>
      </c>
      <c r="H35" s="13" t="s">
        <v>23</v>
      </c>
      <c r="I35" s="21"/>
      <c r="J35" s="28">
        <v>12.34</v>
      </c>
      <c r="K35" s="16">
        <f t="shared" si="4"/>
        <v>12.34</v>
      </c>
      <c r="L35" s="17" t="s">
        <v>17</v>
      </c>
    </row>
    <row r="36" ht="14.25" customHeight="1">
      <c r="A36" s="19">
        <v>33.0</v>
      </c>
      <c r="B36" s="50" t="s">
        <v>127</v>
      </c>
      <c r="C36" s="50">
        <v>1.0</v>
      </c>
      <c r="D36" s="21" t="s">
        <v>128</v>
      </c>
      <c r="E36" s="21" t="s">
        <v>129</v>
      </c>
      <c r="F36" s="21" t="s">
        <v>130</v>
      </c>
      <c r="G36" s="26" t="s">
        <v>131</v>
      </c>
      <c r="H36" s="13" t="s">
        <v>23</v>
      </c>
      <c r="I36" s="21"/>
      <c r="J36" s="28">
        <v>17.92</v>
      </c>
      <c r="K36" s="16">
        <f t="shared" si="4"/>
        <v>17.92</v>
      </c>
      <c r="L36" s="53" t="s">
        <v>132</v>
      </c>
    </row>
    <row r="37" ht="14.25" customHeight="1">
      <c r="A37" s="6">
        <v>34.0</v>
      </c>
      <c r="B37" s="54" t="s">
        <v>133</v>
      </c>
      <c r="C37" s="8">
        <v>2.0</v>
      </c>
      <c r="D37" s="9" t="s">
        <v>134</v>
      </c>
      <c r="E37" s="26" t="s">
        <v>135</v>
      </c>
      <c r="F37" s="21" t="s">
        <v>136</v>
      </c>
      <c r="G37" s="26" t="s">
        <v>137</v>
      </c>
      <c r="H37" s="13" t="s">
        <v>23</v>
      </c>
      <c r="I37" s="21"/>
      <c r="J37" s="28">
        <v>0.29</v>
      </c>
      <c r="K37" s="28">
        <f t="shared" ref="K37:K40" si="5">J37*C37</f>
        <v>0.58</v>
      </c>
      <c r="L37" s="53" t="s">
        <v>132</v>
      </c>
    </row>
    <row r="38" ht="14.25" customHeight="1">
      <c r="A38" s="19">
        <v>35.0</v>
      </c>
      <c r="B38" s="54" t="s">
        <v>138</v>
      </c>
      <c r="C38" s="8">
        <v>1.0</v>
      </c>
      <c r="D38" s="9" t="s">
        <v>139</v>
      </c>
      <c r="E38" s="26" t="s">
        <v>140</v>
      </c>
      <c r="F38" s="21" t="s">
        <v>141</v>
      </c>
      <c r="G38" s="26"/>
      <c r="H38" s="13" t="s">
        <v>62</v>
      </c>
      <c r="I38" s="21"/>
      <c r="J38" s="28">
        <v>1.68</v>
      </c>
      <c r="K38" s="28">
        <f t="shared" si="5"/>
        <v>1.68</v>
      </c>
      <c r="L38" s="17" t="s">
        <v>17</v>
      </c>
    </row>
    <row r="39" ht="14.25" customHeight="1">
      <c r="A39" s="19">
        <v>36.0</v>
      </c>
      <c r="B39" s="54" t="s">
        <v>142</v>
      </c>
      <c r="C39" s="8">
        <v>2.0</v>
      </c>
      <c r="D39" s="9" t="s">
        <v>42</v>
      </c>
      <c r="E39" s="55" t="s">
        <v>143</v>
      </c>
      <c r="F39" s="21" t="s">
        <v>144</v>
      </c>
      <c r="G39" s="21">
        <v>402.0</v>
      </c>
      <c r="H39" s="13" t="s">
        <v>23</v>
      </c>
      <c r="I39" s="21"/>
      <c r="J39" s="28">
        <v>0.16</v>
      </c>
      <c r="K39" s="28">
        <f t="shared" si="5"/>
        <v>0.32</v>
      </c>
      <c r="L39" s="53" t="s">
        <v>132</v>
      </c>
    </row>
    <row r="40" ht="14.25" customHeight="1">
      <c r="A40" s="6">
        <v>37.0</v>
      </c>
      <c r="B40" s="56" t="s">
        <v>145</v>
      </c>
      <c r="C40" s="57">
        <v>2.0</v>
      </c>
      <c r="D40" s="58" t="s">
        <v>42</v>
      </c>
      <c r="E40" s="59" t="s">
        <v>146</v>
      </c>
      <c r="F40" s="60" t="s">
        <v>147</v>
      </c>
      <c r="G40" s="21">
        <v>402.0</v>
      </c>
      <c r="H40" s="13" t="s">
        <v>23</v>
      </c>
      <c r="I40" s="60"/>
      <c r="J40" s="61">
        <v>0.1</v>
      </c>
      <c r="K40" s="28">
        <f t="shared" si="5"/>
        <v>0.2</v>
      </c>
      <c r="L40" s="62" t="s">
        <v>132</v>
      </c>
    </row>
    <row r="41" ht="14.25" customHeight="1">
      <c r="A41" s="63"/>
      <c r="B41" s="64"/>
      <c r="C41" s="65"/>
      <c r="D41" s="66"/>
      <c r="E41" s="67"/>
      <c r="F41" s="64"/>
      <c r="G41" s="68"/>
      <c r="H41" s="69"/>
      <c r="I41" s="64"/>
      <c r="J41" s="70" t="s">
        <v>148</v>
      </c>
      <c r="K41" s="71">
        <f>SUM(K4:K40)</f>
        <v>54.22</v>
      </c>
      <c r="L41" s="67"/>
    </row>
    <row r="42" ht="14.25" customHeight="1">
      <c r="A42" s="63"/>
      <c r="B42" s="64"/>
      <c r="C42" s="65"/>
      <c r="D42" s="66"/>
      <c r="E42" s="67"/>
      <c r="F42" s="64"/>
      <c r="G42" s="68"/>
      <c r="H42" s="69"/>
      <c r="I42" s="64"/>
      <c r="J42" s="72"/>
      <c r="K42" s="71">
        <f>5*K41</f>
        <v>271.1</v>
      </c>
      <c r="L42" s="67"/>
    </row>
    <row r="43" ht="14.25" customHeight="1">
      <c r="A43" s="73"/>
      <c r="B43" s="43" t="s">
        <v>149</v>
      </c>
      <c r="C43" s="45">
        <f>sum(C4,C5,C6,C7,C8,C9,C10,C11,C12,C13,C20,C21,C22,C23,C24,C25,C26,C27,C28,C34,C35,C36,C37,C39,C40)</f>
        <v>62</v>
      </c>
    </row>
    <row r="44" ht="14.25" customHeight="1">
      <c r="A44" s="73"/>
      <c r="B44" s="43" t="s">
        <v>150</v>
      </c>
      <c r="C44" s="45">
        <f>sum(C4:C40)-C43-C14</f>
        <v>24</v>
      </c>
    </row>
    <row r="45" ht="14.25" customHeight="1">
      <c r="A45" s="73"/>
      <c r="B45" s="43" t="s">
        <v>151</v>
      </c>
      <c r="C45" s="43">
        <v>3.0</v>
      </c>
    </row>
    <row r="46" ht="14.25" customHeight="1">
      <c r="A46" s="73"/>
    </row>
    <row r="47" ht="14.25" customHeight="1">
      <c r="A47" s="73"/>
    </row>
    <row r="48" ht="14.25" customHeight="1">
      <c r="A48" s="73"/>
    </row>
    <row r="49" ht="14.25" customHeight="1">
      <c r="A49" s="73"/>
    </row>
    <row r="50" ht="14.25" customHeight="1">
      <c r="A50" s="73"/>
    </row>
    <row r="51" ht="14.25" customHeight="1">
      <c r="A51" s="73"/>
    </row>
    <row r="52" ht="14.25" customHeight="1">
      <c r="A52" s="73"/>
    </row>
    <row r="53" ht="14.25" customHeight="1">
      <c r="A53" s="73"/>
    </row>
    <row r="54" ht="14.25" customHeight="1">
      <c r="A54" s="73"/>
    </row>
    <row r="55" ht="14.25" customHeight="1">
      <c r="A55" s="73"/>
    </row>
    <row r="56" ht="14.25" customHeight="1">
      <c r="A56" s="73"/>
    </row>
    <row r="57" ht="14.25" customHeight="1">
      <c r="A57" s="73"/>
    </row>
    <row r="58" ht="14.25" customHeight="1">
      <c r="A58" s="73"/>
    </row>
    <row r="59" ht="14.25" customHeight="1">
      <c r="A59" s="73"/>
    </row>
    <row r="60" ht="14.25" customHeight="1">
      <c r="A60" s="73"/>
    </row>
    <row r="61" ht="14.25" customHeight="1">
      <c r="A61" s="73"/>
    </row>
    <row r="62" ht="14.25" customHeight="1">
      <c r="A62" s="73"/>
    </row>
    <row r="63" ht="14.25" customHeight="1">
      <c r="A63" s="73"/>
    </row>
    <row r="64" ht="14.25" customHeight="1">
      <c r="A64" s="73"/>
    </row>
    <row r="65" ht="14.25" customHeight="1">
      <c r="A65" s="73"/>
    </row>
    <row r="66" ht="14.25" customHeight="1">
      <c r="A66" s="73"/>
    </row>
    <row r="67" ht="14.25" customHeight="1">
      <c r="A67" s="73"/>
    </row>
    <row r="68" ht="14.25" customHeight="1">
      <c r="A68" s="73"/>
    </row>
    <row r="69" ht="14.25" customHeight="1">
      <c r="A69" s="73"/>
    </row>
    <row r="70" ht="14.25" customHeight="1">
      <c r="A70" s="73"/>
    </row>
    <row r="71" ht="14.25" customHeight="1">
      <c r="A71" s="73"/>
    </row>
    <row r="72" ht="14.25" customHeight="1">
      <c r="A72" s="73"/>
    </row>
    <row r="73" ht="14.25" customHeight="1">
      <c r="A73" s="73"/>
    </row>
    <row r="74" ht="14.25" customHeight="1">
      <c r="A74" s="73"/>
    </row>
    <row r="75" ht="14.25" customHeight="1">
      <c r="A75" s="73"/>
    </row>
    <row r="76" ht="14.25" customHeight="1">
      <c r="A76" s="73"/>
    </row>
    <row r="77" ht="14.25" customHeight="1">
      <c r="A77" s="73"/>
    </row>
    <row r="78" ht="14.25" customHeight="1">
      <c r="A78" s="73"/>
    </row>
    <row r="79" ht="14.25" customHeight="1">
      <c r="A79" s="73"/>
    </row>
    <row r="80" ht="14.25" customHeight="1">
      <c r="A80" s="73"/>
    </row>
    <row r="81" ht="14.25" customHeight="1">
      <c r="A81" s="73"/>
    </row>
    <row r="82" ht="14.25" customHeight="1">
      <c r="A82" s="73"/>
    </row>
    <row r="83" ht="14.25" customHeight="1">
      <c r="A83" s="73"/>
    </row>
    <row r="84" ht="14.25" customHeight="1">
      <c r="A84" s="73"/>
    </row>
    <row r="85" ht="14.25" customHeight="1">
      <c r="A85" s="73"/>
    </row>
    <row r="86" ht="14.25" customHeight="1">
      <c r="A86" s="73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D1:F1"/>
  </mergeCells>
  <dataValidations>
    <dataValidation type="custom" allowBlank="1" showDropDown="1" sqref="C4:C7 J4:K7 C9 J9:K9 C12 J12:K12 C14:C20 J14:K20 C24:C36 J24:K36 A4:A40">
      <formula1>AND(ISNUMBER(A4),(NOT(OR(NOT(ISERROR(DATEVALUE(A4))), AND(ISNUMBER(A4), LEFT(CELL("format", A4))="D")))))</formula1>
    </dataValidation>
    <dataValidation type="list" allowBlank="1" showDropDown="1" showErrorMessage="1" sqref="H4:H21 H24:H40">
      <formula1>"Surface Mount,Surface Mount,Exposed Copper,Through hole"</formula1>
    </dataValidation>
  </dataValidations>
  <hyperlinks>
    <hyperlink r:id="rId1" ref="L4"/>
    <hyperlink r:id="rId2" ref="L5"/>
    <hyperlink r:id="rId3" ref="L6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5"/>
    <hyperlink r:id="rId12" ref="L16"/>
    <hyperlink r:id="rId13" ref="L17"/>
    <hyperlink r:id="rId14" ref="L18"/>
    <hyperlink r:id="rId15" ref="L19"/>
    <hyperlink r:id="rId16" ref="L20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3"/>
    <hyperlink r:id="rId28" ref="L34"/>
    <hyperlink r:id="rId29" ref="L35"/>
    <hyperlink r:id="rId30" ref="L36"/>
    <hyperlink r:id="rId31" ref="L37"/>
    <hyperlink r:id="rId32" ref="L38"/>
    <hyperlink r:id="rId33" ref="L39"/>
    <hyperlink r:id="rId34" ref="L40"/>
  </hyperlinks>
  <printOptions/>
  <pageMargins bottom="0.75" footer="0.0" header="0.0" left="0.7" right="0.7" top="0.75"/>
  <pageSetup orientation="portrait"/>
  <drawing r:id="rId35"/>
  <tableParts count="2">
    <tablePart r:id="rId38"/>
    <tablePart r:id="rId3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2019-11-08T16:14:43Z</dcterms:created>
  <dc:creator>James Tandon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